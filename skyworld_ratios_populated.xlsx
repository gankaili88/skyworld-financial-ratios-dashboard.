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  <sheet name="Ratios" sheetId="3" state="visible" r:id="rId5"/>
    <sheet name="Risk Flag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<sst xmlns="http://schemas.openxmlformats.org/spreadsheetml/2006/main" count="220" uniqueCount="156">
  <si>
    <t xml:space="preserve">Financial Ratios Dashboard — Data Template</t>
  </si>
  <si>
    <t xml:space="preserve">Populated for: SkyWorld Development Berhad (Bursa Malaysia: 5325). FY ending 31 March. 4 years populated; FY2021 awaiting AR 2022.</t>
  </si>
  <si>
    <t xml:space="preserve">How to use this workbook</t>
  </si>
  <si>
    <t xml:space="preserve">1.  Open each company's Annual Report (PDF). For SkyWorld, FY ends 30 June.</t>
  </si>
  <si>
    <t xml:space="preserve">2.  On the 'Raw Data' sheet, type values into the YELLOW input cells only.</t>
  </si>
  <si>
    <t xml:space="preserve">    All numbers should be in RM '000 (thousands) — keep units consistent across all 5 years.</t>
  </si>
  <si>
    <t xml:space="preserve">3.  Use the 'Sources' sheet as a roadmap — it tells you where each figure typically lives in a MFRS-compliant annual report.</t>
  </si>
  <si>
    <t xml:space="preserve">4.  The 'Ratios' sheet auto-calculates everything. Do NOT type into it.</t>
  </si>
  <si>
    <t xml:space="preserve">5.  The 'Risk Flags' sheet highlights any ratio with ±20% YoY movement (ISA 520 analytical-review threshold).</t>
  </si>
  <si>
    <t xml:space="preserve">6.  Once all 5 years are filled in, this workbook becomes the source for Power BI:</t>
  </si>
  <si>
    <t xml:space="preserve">       Get Data → Excel Workbook → point at this file → load 'Raw Data' and 'Ratios' as tables.</t>
  </si>
  <si>
    <t xml:space="preserve">Cell colour key (industry standard)</t>
  </si>
  <si>
    <t xml:space="preserve">    BLUE text     = hardcoded input (your data entry)</t>
  </si>
  <si>
    <t xml:space="preserve">    BLACK text    = formula / calculation (do not overwrite)</t>
  </si>
  <si>
    <t xml:space="preserve">    GREEN text    = link from another sheet in this workbook</t>
  </si>
  <si>
    <t xml:space="preserve">    YELLOW fill   = cell awaiting your input</t>
  </si>
  <si>
    <t xml:space="preserve">Audit angle — why these specific ratios</t>
  </si>
  <si>
    <t xml:space="preserve">    Profitability  →  margin compression often precedes goodwill / inventory write-downs</t>
  </si>
  <si>
    <t xml:space="preserve">    Liquidity      →  current &amp; quick ratios test going-concern assumption (ISA 570)</t>
  </si>
  <si>
    <t xml:space="preserve">    Gearing        →  debt-to-equity &amp; net gearing flag covenant / refinancing risk</t>
  </si>
  <si>
    <t xml:space="preserve">    Activity       →  DSO/DIO/DPO movements signal channel stuffing, stale inventory, or strained suppliers</t>
  </si>
  <si>
    <t xml:space="preserve">    Returns        →  ROE/ROA decomposition (DuPont) isolates where value is being created or destroyed</t>
  </si>
  <si>
    <t xml:space="preserve">Property-developer caveats (important for SkyWorld)</t>
  </si>
  <si>
    <t xml:space="preserve">    • 'Inventory' = Property Development Costs + Completed Properties Held for Sale (often the largest current asset).</t>
  </si>
  <si>
    <t xml:space="preserve">    • DIO will look enormous (300–900+ days). That's normal — projects span years. Compare YoY, not vs. other industries.</t>
  </si>
  <si>
    <t xml:space="preserve">    • Revenue is recognised over time (MFRS 15 POC). 'Contract assets' may sit alongside trade receivables — include in DSO.</t>
  </si>
  <si>
    <t xml:space="preserve">    • Property developers carry significant deposits / progress billings as current liabilities — these inflate the current ratio denominator.</t>
  </si>
  <si>
    <t xml:space="preserve">SkyWorld Development Berhad — Raw Financial Data (Group, RM '000, FY ending 31 March)</t>
  </si>
  <si>
    <t xml:space="preserve">Source: Audited Annual Reports 2023, 2024, 2025. NI = Profit for the year (group, incl. NCI &lt; 1% of equity). Receivables include MFRS 15 contract assets. Inventory is current portion only (land bank in non-current assets).</t>
  </si>
  <si>
    <t xml:space="preserve">Line item</t>
  </si>
  <si>
    <t xml:space="preserve">FY2022</t>
  </si>
  <si>
    <t xml:space="preserve">FY2023</t>
  </si>
  <si>
    <t xml:space="preserve">FY2024</t>
  </si>
  <si>
    <t xml:space="preserve">FY2025</t>
  </si>
  <si>
    <t xml:space="preserve">(add FY2026 / earlier yr)</t>
  </si>
  <si>
    <t xml:space="preserve">Notes / Source</t>
  </si>
  <si>
    <t xml:space="preserve">INCOME STATEMENT</t>
  </si>
  <si>
    <t xml:space="preserve">Revenue</t>
  </si>
  <si>
    <t xml:space="preserve">AR Notes 3 (FY25) / 3 (FY24) / 5 (FY23): Revenue from contracts with customers (MFRS 15)</t>
  </si>
  <si>
    <t xml:space="preserve">Cost of sales</t>
  </si>
  <si>
    <t xml:space="preserve">AR Notes 4 (FY25) / 4 (FY24) / 6 (FY23)</t>
  </si>
  <si>
    <t xml:space="preserve">Gross profit</t>
  </si>
  <si>
    <t xml:space="preserve">Other operating income</t>
  </si>
  <si>
    <t xml:space="preserve">AR Notes 5/5/7 — gains, govt grants, reversals</t>
  </si>
  <si>
    <t xml:space="preserve">Operating expenses (SG&amp;A, etc.)</t>
  </si>
  <si>
    <t xml:space="preserve">Selling &amp; marketing + Admin expenses (combined)</t>
  </si>
  <si>
    <t xml:space="preserve">EBIT (Operating profit)</t>
  </si>
  <si>
    <t xml:space="preserve">Finance costs (net)</t>
  </si>
  <si>
    <t xml:space="preserve">AR Notes 6/6/8</t>
  </si>
  <si>
    <t xml:space="preserve">Profit before tax</t>
  </si>
  <si>
    <t xml:space="preserve">Income tax expense</t>
  </si>
  <si>
    <t xml:space="preserve">AR Notes 9/9/11</t>
  </si>
  <si>
    <t xml:space="preserve">Net income (PAT attributable to owners)</t>
  </si>
  <si>
    <t xml:space="preserve">BALANCE SHEET — ASSETS</t>
  </si>
  <si>
    <t xml:space="preserve">Cash &amp; cash equivalents</t>
  </si>
  <si>
    <t xml:space="preserve">Cash and bank balances — current assets</t>
  </si>
  <si>
    <t xml:space="preserve">Trade &amp; other receivables</t>
  </si>
  <si>
    <t xml:space="preserve">Trade rec + Contract assets + Contract cost assets + Other receivables</t>
  </si>
  <si>
    <t xml:space="preserve">Inventory (incl. property dev. costs + unsold completed)</t>
  </si>
  <si>
    <t xml:space="preserve">Property development costs + Completed properties (current only — excl. NC land bank)</t>
  </si>
  <si>
    <t xml:space="preserve">Other current assets</t>
  </si>
  <si>
    <t xml:space="preserve">Current tax assets</t>
  </si>
  <si>
    <t xml:space="preserve">Total current assets</t>
  </si>
  <si>
    <t xml:space="preserve">Non-current assets (PPE, investments, etc.)</t>
  </si>
  <si>
    <t xml:space="preserve">Includes ~RM498-548m land held for property development (NC inventory)</t>
  </si>
  <si>
    <t xml:space="preserve">Total assets</t>
  </si>
  <si>
    <t xml:space="preserve">BALANCE SHEET — LIABILITIES &amp; EQUITY</t>
  </si>
  <si>
    <t xml:space="preserve">Trade &amp; other payables</t>
  </si>
  <si>
    <t xml:space="preserve">Trade payables + Other payables &amp; accrued expenses</t>
  </si>
  <si>
    <t xml:space="preserve">Short-term borrowings</t>
  </si>
  <si>
    <t xml:space="preserve">Bank borrowings — current portion</t>
  </si>
  <si>
    <t xml:space="preserve">Other current liabilities (incl. progress billings)</t>
  </si>
  <si>
    <t xml:space="preserve">Contract liab + Land costs payable + Lease liab (CL) + Current tax liab</t>
  </si>
  <si>
    <t xml:space="preserve">Total current liabilities</t>
  </si>
  <si>
    <t xml:space="preserve">Long-term borrowings</t>
  </si>
  <si>
    <t xml:space="preserve">Bank borrowings — non-current portion</t>
  </si>
  <si>
    <t xml:space="preserve">Other non-current liabilities</t>
  </si>
  <si>
    <t xml:space="preserve">Lease liab (NC) + Land costs payable (NC) + Deferred tax liab</t>
  </si>
  <si>
    <t xml:space="preserve">Total non-current liabilities</t>
  </si>
  <si>
    <t xml:space="preserve">Total liabilities</t>
  </si>
  <si>
    <t xml:space="preserve">Total equity (attributable to owners)</t>
  </si>
  <si>
    <t xml:space="preserve">Total Equity incl. NCI (NCI immaterial: &lt;1% of equity) for balance-sheet identity</t>
  </si>
  <si>
    <t xml:space="preserve">Total equity + liabilities (check vs. total assets)</t>
  </si>
  <si>
    <t xml:space="preserve">Balance check (should be 0)</t>
  </si>
  <si>
    <t xml:space="preserve">Calculated Ratios</t>
  </si>
  <si>
    <t xml:space="preserve">All formulas — do not type into these cells. Greys-out where prior-year data is needed for averages (FY2021 column).</t>
  </si>
  <si>
    <t xml:space="preserve">Ratio</t>
  </si>
  <si>
    <t xml:space="preserve">Format</t>
  </si>
  <si>
    <t xml:space="preserve">PROFITABILITY</t>
  </si>
  <si>
    <t xml:space="preserve">Gross margin %</t>
  </si>
  <si>
    <t xml:space="preserve">%</t>
  </si>
  <si>
    <t xml:space="preserve">EBIT margin %</t>
  </si>
  <si>
    <t xml:space="preserve">Net margin %</t>
  </si>
  <si>
    <t xml:space="preserve">Return on Equity (ROE) — avg equity</t>
  </si>
  <si>
    <t xml:space="preserve">Return on Assets (ROA) — avg assets</t>
  </si>
  <si>
    <t xml:space="preserve">LIQUIDITY</t>
  </si>
  <si>
    <t xml:space="preserve">Current ratio</t>
  </si>
  <si>
    <t xml:space="preserve">x</t>
  </si>
  <si>
    <t xml:space="preserve">Quick ratio (acid test)</t>
  </si>
  <si>
    <t xml:space="preserve">Cash ratio</t>
  </si>
  <si>
    <t xml:space="preserve">Working capital (RM '000)</t>
  </si>
  <si>
    <t xml:space="preserve">RM '000</t>
  </si>
  <si>
    <t xml:space="preserve">LEVERAGE / GEARING</t>
  </si>
  <si>
    <t xml:space="preserve">Debt-to-equity (total debt / equity)</t>
  </si>
  <si>
    <t xml:space="preserve">Total liabilities / equity</t>
  </si>
  <si>
    <t xml:space="preserve">Net gearing ((debt-cash)/equity)</t>
  </si>
  <si>
    <t xml:space="preserve">Interest coverage (EBIT / finance cost)</t>
  </si>
  <si>
    <t xml:space="preserve">ACTIVITY / WORKING-CAPITAL DAYS</t>
  </si>
  <si>
    <t xml:space="preserve">Days Sales Outstanding (DSO) — avg AR</t>
  </si>
  <si>
    <t xml:space="preserve">days</t>
  </si>
  <si>
    <t xml:space="preserve">Days Inventory Outstanding (DIO) — avg Inv</t>
  </si>
  <si>
    <t xml:space="preserve">Days Payable Outstanding (DPO) — avg AP</t>
  </si>
  <si>
    <t xml:space="preserve">Cash Conversion Cycle (DSO+DIO-DPO)</t>
  </si>
  <si>
    <t xml:space="preserve">GROWTH (YoY)</t>
  </si>
  <si>
    <t xml:space="preserve">Revenue growth %</t>
  </si>
  <si>
    <t xml:space="preserve">EBIT growth %</t>
  </si>
  <si>
    <t xml:space="preserve">Net income growth %</t>
  </si>
  <si>
    <t xml:space="preserve">Analytical Review — YoY Change vs ±20% Threshold (ISA 520)</t>
  </si>
  <si>
    <t xml:space="preserve">Red = |Δ| &gt; 20% (investigate). Amber = 10–20%. Green = stable. Empty = first year / not applicable.</t>
  </si>
  <si>
    <t xml:space="preserve">FY23 vs FY22</t>
  </si>
  <si>
    <t xml:space="preserve">FY24 vs FY23</t>
  </si>
  <si>
    <t xml:space="preserve">FY25 vs FY24</t>
  </si>
  <si>
    <t xml:space="preserve">Legend</t>
  </si>
  <si>
    <t xml:space="preserve">  |Δ| &gt; 20%  →  RED — investigate (analytical-review threshold breached)</t>
  </si>
  <si>
    <t xml:space="preserve">  10–20%      →  AMBER — note in working papers</t>
  </si>
  <si>
    <t xml:space="preserve">  &lt; 10%       →  GREEN — within expectation</t>
  </si>
  <si>
    <t xml:space="preserve">Where to find each figure in the Annual Report (MFRS / Bursa Malaysia listed cos.)</t>
  </si>
  <si>
    <t xml:space="preserve">Primary statement</t>
  </si>
  <si>
    <t xml:space="preserve">Typical note / location</t>
  </si>
  <si>
    <t xml:space="preserve">Statement of P&amp;L</t>
  </si>
  <si>
    <t xml:space="preserve">First line — often disaggregated by segment in Note (Revenue from contracts with customers, MFRS 15)</t>
  </si>
  <si>
    <t xml:space="preserve">Usually shown directly below revenue</t>
  </si>
  <si>
    <t xml:space="preserve">Includes gains on disposals, govt grants, reversal of impairments</t>
  </si>
  <si>
    <t xml:space="preserve">Operating expenses</t>
  </si>
  <si>
    <t xml:space="preserve">Admin + Selling &amp; marketing + other operating costs (sometimes shown by function, sometimes by nature)</t>
  </si>
  <si>
    <t xml:space="preserve">Net of finance income; expand in Note on Finance Costs</t>
  </si>
  <si>
    <t xml:space="preserve">Reconciliation typically in tax note</t>
  </si>
  <si>
    <t xml:space="preserve">Net income (PAT to owners)</t>
  </si>
  <si>
    <t xml:space="preserve">Profit attributable to owners of the parent — NOT total comprehensive income</t>
  </si>
  <si>
    <t xml:space="preserve">Statement of Financial Position</t>
  </si>
  <si>
    <t xml:space="preserve">Bottom of current assets; check Note for restricted cash, fixed deposits &gt;3m</t>
  </si>
  <si>
    <t xml:space="preserve">Note breaks out: trade receivables, contract assets, deposits, prepayments. Include trade + contract assets in DSO.</t>
  </si>
  <si>
    <t xml:space="preserve">Inventory</t>
  </si>
  <si>
    <t xml:space="preserve">For developers: Property Development Costs (Note) + Completed properties held for sale + Land held for development</t>
  </si>
  <si>
    <t xml:space="preserve">Subtotal — verify against your inputs</t>
  </si>
  <si>
    <t xml:space="preserve">Non-current assets</t>
  </si>
  <si>
    <t xml:space="preserve">PPE, investment properties, intangibles, deferred tax assets</t>
  </si>
  <si>
    <t xml:space="preserve">Trade payables + accruals; expand in note</t>
  </si>
  <si>
    <t xml:space="preserve">Bank borrowings — current portion; Note on Borrowings shows maturity profile</t>
  </si>
  <si>
    <t xml:space="preserve">Other current liabilities</t>
  </si>
  <si>
    <t xml:space="preserve">Progress billings, deposits received, current portion of lease liabilities</t>
  </si>
  <si>
    <t xml:space="preserve">Non-current portion of bank borrowings, bonds, sukuk</t>
  </si>
  <si>
    <t xml:space="preserve">Other non-current liab.</t>
  </si>
  <si>
    <t xml:space="preserve">Deferred tax, lease liabilities (non-current), retirement obligations</t>
  </si>
  <si>
    <t xml:space="preserve">Total equity</t>
  </si>
  <si>
    <t xml:space="preserve">Equity attributable to owners — exclude non-controlling interests (NCI) from this line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</si>
</sst>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0;\(0.00\);\-"/>
    <numFmt numFmtId="168" formatCode="0;\(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sz val="10"/>
      <color rgb="FF996600"/>
      <name val="Arial"/>
      <family val="0"/>
      <charset val="1"/>
    </font>
    <font>
      <sz val="10"/>
      <color rgb="FF38761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AD3"/>
      </patternFill>
    </fill>
    <fill>
      <patternFill patternType="solid">
        <fgColor rgb="FF1F3864"/>
        <bgColor rgb="FF333333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FFFFFF"/>
      </patternFill>
    </fill>
    <fill>
      <patternFill patternType="solid">
        <fgColor rgb="FFF4CCCC"/>
        <bgColor rgb="FFD9E1F2"/>
      </patternFill>
    </fill>
    <fill>
      <patternFill patternType="solid">
        <fgColor rgb="FFFFF2CC"/>
        <bgColor rgb="FFFFFFCC"/>
      </patternFill>
    </fill>
    <fill>
      <patternFill patternType="solid">
        <fgColor rgb="FFD9EAD3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90000"/>
        <sz val="10"/>
      </font>
      <fill>
        <patternFill>
          <bgColor rgb="FFF4CCCC"/>
        </patternFill>
      </fill>
    </dxf>
    <dxf>
      <font>
        <name val="Arial"/>
        <charset val="1"/>
        <family val="0"/>
        <color rgb="FF996600"/>
        <sz val="10"/>
      </font>
      <fill>
        <patternFill>
          <bgColor rgb="FFFFF2CC"/>
        </patternFill>
      </fill>
    </dxf>
    <dxf>
      <font>
        <name val="Arial"/>
        <charset val="1"/>
        <family val="0"/>
        <color rgb="FF38761D"/>
        <sz val="10"/>
      </font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8761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/>
    </row>
    <row r="7" customFormat="false" ht="15" hidden="false" customHeight="true" outlineLevel="0" collapsed="false">
      <c r="B7" s="5" t="s">
        <v>3</v>
      </c>
    </row>
    <row r="8" customFormat="false" ht="15" hidden="false" customHeight="true" outlineLevel="0" collapsed="false">
      <c r="B8" s="5" t="s">
        <v>4</v>
      </c>
    </row>
    <row r="9" customFormat="false" ht="15" hidden="false" customHeight="true" outlineLevel="0" collapsed="false">
      <c r="B9" s="5" t="s">
        <v>5</v>
      </c>
    </row>
    <row r="10" customFormat="false" ht="15" hidden="false" customHeight="true" outlineLevel="0" collapsed="false">
      <c r="B10" s="5" t="s">
        <v>6</v>
      </c>
    </row>
    <row r="11" customFormat="false" ht="15" hidden="false" customHeight="true" outlineLevel="0" collapsed="false">
      <c r="B11" s="5" t="s">
        <v>7</v>
      </c>
    </row>
    <row r="12" customFormat="false" ht="15" hidden="false" customHeight="true" outlineLevel="0" collapsed="false">
      <c r="B12" s="5" t="s">
        <v>8</v>
      </c>
    </row>
    <row r="13" customFormat="false" ht="15" hidden="false" customHeight="true" outlineLevel="0" collapsed="false">
      <c r="B13" s="5" t="s">
        <v>9</v>
      </c>
    </row>
    <row r="14" customFormat="false" ht="15" hidden="false" customHeight="true" outlineLevel="0" collapsed="false">
      <c r="B14" s="5" t="s">
        <v>10</v>
      </c>
    </row>
    <row r="15" customFormat="false" ht="15" hidden="false" customHeight="true" outlineLevel="0" collapsed="false">
      <c r="B15" s="5"/>
    </row>
    <row r="16" customFormat="false" ht="15" hidden="false" customHeight="true" outlineLevel="0" collapsed="false">
      <c r="B16" s="4" t="s">
        <v>11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5"/>
    </row>
    <row r="18" customFormat="false" ht="15" hidden="false" customHeight="true" outlineLevel="0" collapsed="false">
      <c r="B18" s="5" t="s">
        <v>12</v>
      </c>
    </row>
    <row r="19" customFormat="false" ht="15" hidden="false" customHeight="true" outlineLevel="0" collapsed="false">
      <c r="B19" s="5" t="s">
        <v>13</v>
      </c>
    </row>
    <row r="20" customFormat="false" ht="15" hidden="false" customHeight="true" outlineLevel="0" collapsed="false">
      <c r="B20" s="5" t="s">
        <v>14</v>
      </c>
    </row>
    <row r="21" customFormat="false" ht="15" hidden="false" customHeight="true" outlineLevel="0" collapsed="false">
      <c r="B21" s="5" t="s">
        <v>15</v>
      </c>
    </row>
    <row r="22" customFormat="false" ht="15" hidden="false" customHeight="true" outlineLevel="0" collapsed="false">
      <c r="B22" s="5"/>
    </row>
    <row r="23" customFormat="false" ht="15" hidden="false" customHeight="true" outlineLevel="0" collapsed="false">
      <c r="B23" s="4" t="s">
        <v>16</v>
      </c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B24" s="5"/>
    </row>
    <row r="25" customFormat="false" ht="15" hidden="false" customHeight="true" outlineLevel="0" collapsed="false">
      <c r="B25" s="5" t="s">
        <v>17</v>
      </c>
    </row>
    <row r="26" customFormat="false" ht="15" hidden="false" customHeight="true" outlineLevel="0" collapsed="false">
      <c r="B26" s="5" t="s">
        <v>18</v>
      </c>
    </row>
    <row r="27" customFormat="false" ht="15" hidden="false" customHeight="true" outlineLevel="0" collapsed="false">
      <c r="B27" s="5" t="s">
        <v>19</v>
      </c>
    </row>
    <row r="28" customFormat="false" ht="15" hidden="false" customHeight="true" outlineLevel="0" collapsed="false">
      <c r="B28" s="5" t="s">
        <v>20</v>
      </c>
    </row>
    <row r="29" customFormat="false" ht="15" hidden="false" customHeight="true" outlineLevel="0" collapsed="false">
      <c r="B29" s="5" t="s">
        <v>21</v>
      </c>
    </row>
    <row r="30" customFormat="false" ht="15" hidden="false" customHeight="true" outlineLevel="0" collapsed="false">
      <c r="B30" s="5"/>
    </row>
    <row r="31" customFormat="false" ht="15" hidden="false" customHeight="true" outlineLevel="0" collapsed="false">
      <c r="B31" s="4" t="s">
        <v>22</v>
      </c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B32" s="5"/>
    </row>
    <row r="33" customFormat="false" ht="15" hidden="false" customHeight="true" outlineLevel="0" collapsed="false">
      <c r="B33" s="5" t="s">
        <v>23</v>
      </c>
    </row>
    <row r="34" customFormat="false" ht="15" hidden="false" customHeight="true" outlineLevel="0" collapsed="false">
      <c r="B34" s="5" t="s">
        <v>24</v>
      </c>
    </row>
    <row r="35" customFormat="false" ht="15" hidden="false" customHeight="true" outlineLevel="0" collapsed="false">
      <c r="B35" s="5" t="s">
        <v>25</v>
      </c>
    </row>
    <row r="36" customFormat="false" ht="15" hidden="false" customHeight="true" outlineLevel="0" collapsed="false">
      <c r="B36" s="5" t="s">
        <v>26</v>
      </c>
    </row>
  </sheetData>
  <mergeCells count="4">
    <mergeCell ref="B5:H5"/>
    <mergeCell ref="B16:H16"/>
    <mergeCell ref="B23:H23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4"/>
    <col collapsed="false" customWidth="true" hidden="false" outlineLevel="0" max="7" min="7" style="1" width="40"/>
  </cols>
  <sheetData>
    <row r="1" customFormat="false" ht="17.25" hidden="false" customHeight="true" outlineLevel="0" collapsed="false">
      <c r="A1" s="6" t="s">
        <v>27</v>
      </c>
      <c r="B1" s="6"/>
      <c r="C1" s="6"/>
      <c r="D1" s="6"/>
      <c r="E1" s="6"/>
      <c r="F1" s="6"/>
      <c r="G1" s="6"/>
    </row>
    <row r="2" customFormat="false" ht="15" hidden="false" customHeight="true" outlineLevel="0" collapsed="false">
      <c r="A2" s="7" t="s">
        <v>28</v>
      </c>
    </row>
    <row r="4" customFormat="false" ht="15" hidden="false" customHeight="true" outlineLevel="0" collapsed="false">
      <c r="A4" s="8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10" t="s">
        <v>34</v>
      </c>
      <c r="G4" s="11" t="s">
        <v>35</v>
      </c>
    </row>
    <row r="6" customFormat="false" ht="15" hidden="false" customHeight="true" outlineLevel="0" collapsed="false">
      <c r="A6" s="12" t="s">
        <v>36</v>
      </c>
      <c r="B6" s="12"/>
      <c r="C6" s="12"/>
      <c r="D6" s="12"/>
      <c r="E6" s="12"/>
      <c r="F6" s="12"/>
      <c r="G6" s="12"/>
    </row>
    <row r="7" customFormat="false" ht="15" hidden="false" customHeight="true" outlineLevel="0" collapsed="false">
      <c r="A7" s="13" t="s">
        <v>37</v>
      </c>
      <c r="B7" s="14" t="n">
        <v>790437</v>
      </c>
      <c r="C7" s="14" t="n">
        <v>841411</v>
      </c>
      <c r="D7" s="14" t="n">
        <v>688038</v>
      </c>
      <c r="E7" s="14" t="n">
        <v>445489</v>
      </c>
      <c r="F7" s="14"/>
      <c r="G7" s="15" t="s">
        <v>38</v>
      </c>
    </row>
    <row r="8" customFormat="false" ht="15" hidden="false" customHeight="true" outlineLevel="0" collapsed="false">
      <c r="A8" s="13" t="s">
        <v>39</v>
      </c>
      <c r="B8" s="14" t="n">
        <v>540830</v>
      </c>
      <c r="C8" s="14" t="n">
        <v>543065</v>
      </c>
      <c r="D8" s="14" t="n">
        <v>434620</v>
      </c>
      <c r="E8" s="14" t="n">
        <v>280128</v>
      </c>
      <c r="F8" s="14"/>
      <c r="G8" s="15" t="s">
        <v>40</v>
      </c>
    </row>
    <row r="9" customFormat="false" ht="15" hidden="false" customHeight="true" outlineLevel="0" collapsed="false">
      <c r="A9" s="13" t="s">
        <v>41</v>
      </c>
      <c r="B9" s="16" t="n">
        <f aca="false">B7-B8</f>
        <v>249607</v>
      </c>
      <c r="C9" s="16" t="n">
        <f aca="false">C7-C8</f>
        <v>298346</v>
      </c>
      <c r="D9" s="16" t="n">
        <f aca="false">D7-D8</f>
        <v>253418</v>
      </c>
      <c r="E9" s="16" t="n">
        <f aca="false">E7-E8</f>
        <v>165361</v>
      </c>
      <c r="F9" s="16" t="n">
        <f aca="false">F7-F8</f>
        <v>0</v>
      </c>
      <c r="G9" s="15"/>
    </row>
    <row r="10" customFormat="false" ht="15" hidden="false" customHeight="true" outlineLevel="0" collapsed="false">
      <c r="A10" s="13" t="s">
        <v>42</v>
      </c>
      <c r="B10" s="14" t="n">
        <v>3141</v>
      </c>
      <c r="C10" s="14" t="n">
        <v>5838</v>
      </c>
      <c r="D10" s="14" t="n">
        <v>11739</v>
      </c>
      <c r="E10" s="14" t="n">
        <v>15605</v>
      </c>
      <c r="F10" s="14"/>
      <c r="G10" s="15" t="s">
        <v>43</v>
      </c>
    </row>
    <row r="11" customFormat="false" ht="15" hidden="false" customHeight="true" outlineLevel="0" collapsed="false">
      <c r="A11" s="13" t="s">
        <v>44</v>
      </c>
      <c r="B11" s="14" t="n">
        <v>84988</v>
      </c>
      <c r="C11" s="14" t="n">
        <v>84634</v>
      </c>
      <c r="D11" s="14" t="n">
        <v>89058</v>
      </c>
      <c r="E11" s="14" t="n">
        <v>81744</v>
      </c>
      <c r="F11" s="14"/>
      <c r="G11" s="15" t="s">
        <v>45</v>
      </c>
    </row>
    <row r="12" customFormat="false" ht="15" hidden="false" customHeight="true" outlineLevel="0" collapsed="false">
      <c r="A12" s="13" t="s">
        <v>46</v>
      </c>
      <c r="B12" s="16" t="n">
        <f aca="false">B9+B10-B11</f>
        <v>167760</v>
      </c>
      <c r="C12" s="16" t="n">
        <f aca="false">C9+C10-C11</f>
        <v>219550</v>
      </c>
      <c r="D12" s="16" t="n">
        <f aca="false">D9+D10-D11</f>
        <v>176099</v>
      </c>
      <c r="E12" s="16" t="n">
        <f aca="false">E9+E10-E11</f>
        <v>99222</v>
      </c>
      <c r="F12" s="16" t="n">
        <f aca="false">F9+F10-F11</f>
        <v>0</v>
      </c>
      <c r="G12" s="15"/>
    </row>
    <row r="13" customFormat="false" ht="15" hidden="false" customHeight="true" outlineLevel="0" collapsed="false">
      <c r="A13" s="13" t="s">
        <v>47</v>
      </c>
      <c r="B13" s="14" t="n">
        <v>17743</v>
      </c>
      <c r="C13" s="14" t="n">
        <v>14766</v>
      </c>
      <c r="D13" s="14" t="n">
        <v>16164</v>
      </c>
      <c r="E13" s="14" t="n">
        <v>14670</v>
      </c>
      <c r="F13" s="14"/>
      <c r="G13" s="15" t="s">
        <v>48</v>
      </c>
    </row>
    <row r="14" customFormat="false" ht="15" hidden="false" customHeight="true" outlineLevel="0" collapsed="false">
      <c r="A14" s="13" t="s">
        <v>49</v>
      </c>
      <c r="B14" s="16" t="n">
        <f aca="false">B12-B13</f>
        <v>150017</v>
      </c>
      <c r="C14" s="16" t="n">
        <f aca="false">C12-C13</f>
        <v>204784</v>
      </c>
      <c r="D14" s="16" t="n">
        <f aca="false">D12-D13</f>
        <v>159935</v>
      </c>
      <c r="E14" s="16" t="n">
        <f aca="false">E12-E13</f>
        <v>84552</v>
      </c>
      <c r="F14" s="16" t="n">
        <f aca="false">F12-F13</f>
        <v>0</v>
      </c>
      <c r="G14" s="15"/>
    </row>
    <row r="15" customFormat="false" ht="15" hidden="false" customHeight="true" outlineLevel="0" collapsed="false">
      <c r="A15" s="13" t="s">
        <v>50</v>
      </c>
      <c r="B15" s="14" t="n">
        <v>45733</v>
      </c>
      <c r="C15" s="14" t="n">
        <v>54073</v>
      </c>
      <c r="D15" s="14" t="n">
        <v>53424</v>
      </c>
      <c r="E15" s="14" t="n">
        <v>28465</v>
      </c>
      <c r="F15" s="14"/>
      <c r="G15" s="15" t="s">
        <v>51</v>
      </c>
    </row>
    <row r="16" customFormat="false" ht="15" hidden="false" customHeight="true" outlineLevel="0" collapsed="false">
      <c r="A16" s="13" t="s">
        <v>52</v>
      </c>
      <c r="B16" s="16" t="n">
        <f aca="false">B14-B15</f>
        <v>104284</v>
      </c>
      <c r="C16" s="16" t="n">
        <f aca="false">C14-C15</f>
        <v>150711</v>
      </c>
      <c r="D16" s="16" t="n">
        <f aca="false">D14-D15</f>
        <v>106511</v>
      </c>
      <c r="E16" s="16" t="n">
        <f aca="false">E14-E15</f>
        <v>56087</v>
      </c>
      <c r="F16" s="16" t="n">
        <f aca="false">F14-F15</f>
        <v>0</v>
      </c>
      <c r="G16" s="15"/>
    </row>
    <row r="18" customFormat="false" ht="15" hidden="false" customHeight="true" outlineLevel="0" collapsed="false">
      <c r="A18" s="12" t="s">
        <v>53</v>
      </c>
      <c r="B18" s="12"/>
      <c r="C18" s="12"/>
      <c r="D18" s="12"/>
      <c r="E18" s="12"/>
      <c r="F18" s="12"/>
      <c r="G18" s="12"/>
    </row>
    <row r="19" customFormat="false" ht="15" hidden="false" customHeight="true" outlineLevel="0" collapsed="false">
      <c r="A19" s="13" t="s">
        <v>54</v>
      </c>
      <c r="B19" s="14" t="n">
        <v>280472</v>
      </c>
      <c r="C19" s="14" t="n">
        <v>237727</v>
      </c>
      <c r="D19" s="14" t="n">
        <v>499922</v>
      </c>
      <c r="E19" s="14" t="n">
        <v>349621</v>
      </c>
      <c r="F19" s="14"/>
      <c r="G19" s="15" t="s">
        <v>55</v>
      </c>
    </row>
    <row r="20" customFormat="false" ht="15" hidden="false" customHeight="true" outlineLevel="0" collapsed="false">
      <c r="A20" s="13" t="s">
        <v>56</v>
      </c>
      <c r="B20" s="14" t="n">
        <v>247123</v>
      </c>
      <c r="C20" s="14" t="n">
        <v>232503</v>
      </c>
      <c r="D20" s="14" t="n">
        <v>211546</v>
      </c>
      <c r="E20" s="14" t="n">
        <v>281126</v>
      </c>
      <c r="F20" s="14"/>
      <c r="G20" s="15" t="s">
        <v>57</v>
      </c>
    </row>
    <row r="21" customFormat="false" ht="15" hidden="false" customHeight="true" outlineLevel="0" collapsed="false">
      <c r="A21" s="13" t="s">
        <v>58</v>
      </c>
      <c r="B21" s="14" t="n">
        <v>276634</v>
      </c>
      <c r="C21" s="14" t="n">
        <v>184441</v>
      </c>
      <c r="D21" s="14" t="n">
        <v>190639</v>
      </c>
      <c r="E21" s="14" t="n">
        <v>265935</v>
      </c>
      <c r="F21" s="14"/>
      <c r="G21" s="15" t="s">
        <v>59</v>
      </c>
    </row>
    <row r="22" customFormat="false" ht="15" hidden="false" customHeight="true" outlineLevel="0" collapsed="false">
      <c r="A22" s="13" t="s">
        <v>60</v>
      </c>
      <c r="B22" s="14" t="n">
        <v>4125</v>
      </c>
      <c r="C22" s="14" t="n">
        <v>12585</v>
      </c>
      <c r="D22" s="14" t="n">
        <v>15317</v>
      </c>
      <c r="E22" s="14" t="n">
        <v>16326</v>
      </c>
      <c r="F22" s="14"/>
      <c r="G22" s="15" t="s">
        <v>61</v>
      </c>
    </row>
    <row r="23" customFormat="false" ht="15" hidden="false" customHeight="true" outlineLevel="0" collapsed="false">
      <c r="A23" s="13" t="s">
        <v>62</v>
      </c>
      <c r="B23" s="16" t="n">
        <f aca="false">SUM(B19:B22)</f>
        <v>808354</v>
      </c>
      <c r="C23" s="16" t="n">
        <f aca="false">SUM(C19:C22)</f>
        <v>667256</v>
      </c>
      <c r="D23" s="16" t="n">
        <f aca="false">SUM(D19:D22)</f>
        <v>917424</v>
      </c>
      <c r="E23" s="16" t="n">
        <f aca="false">SUM(E19:E22)</f>
        <v>913008</v>
      </c>
      <c r="F23" s="16" t="n">
        <f aca="false">SUM(F19:F22)</f>
        <v>0</v>
      </c>
      <c r="G23" s="15"/>
    </row>
    <row r="24" customFormat="false" ht="15" hidden="false" customHeight="true" outlineLevel="0" collapsed="false">
      <c r="A24" s="13" t="s">
        <v>63</v>
      </c>
      <c r="B24" s="14" t="n">
        <v>556246</v>
      </c>
      <c r="C24" s="14" t="n">
        <v>650413</v>
      </c>
      <c r="D24" s="14" t="n">
        <v>641225</v>
      </c>
      <c r="E24" s="14" t="n">
        <v>618018</v>
      </c>
      <c r="F24" s="14"/>
      <c r="G24" s="15" t="s">
        <v>64</v>
      </c>
    </row>
    <row r="25" customFormat="false" ht="15" hidden="false" customHeight="true" outlineLevel="0" collapsed="false">
      <c r="A25" s="13" t="s">
        <v>65</v>
      </c>
      <c r="B25" s="16" t="n">
        <f aca="false">B23+B24</f>
        <v>1364600</v>
      </c>
      <c r="C25" s="16" t="n">
        <f aca="false">C23+C24</f>
        <v>1317669</v>
      </c>
      <c r="D25" s="16" t="n">
        <f aca="false">D23+D24</f>
        <v>1558649</v>
      </c>
      <c r="E25" s="16" t="n">
        <f aca="false">E23+E24</f>
        <v>1531026</v>
      </c>
      <c r="F25" s="16" t="n">
        <f aca="false">F23+F24</f>
        <v>0</v>
      </c>
      <c r="G25" s="15"/>
    </row>
    <row r="27" customFormat="false" ht="15" hidden="false" customHeight="true" outlineLevel="0" collapsed="false">
      <c r="A27" s="12" t="s">
        <v>66</v>
      </c>
      <c r="B27" s="12"/>
      <c r="C27" s="12"/>
      <c r="D27" s="12"/>
      <c r="E27" s="12"/>
      <c r="F27" s="12"/>
      <c r="G27" s="12"/>
    </row>
    <row r="28" customFormat="false" ht="15" hidden="false" customHeight="true" outlineLevel="0" collapsed="false">
      <c r="A28" s="13" t="s">
        <v>67</v>
      </c>
      <c r="B28" s="14" t="n">
        <v>250729</v>
      </c>
      <c r="C28" s="14" t="n">
        <v>212370</v>
      </c>
      <c r="D28" s="14" t="n">
        <v>196142</v>
      </c>
      <c r="E28" s="14" t="n">
        <v>189751</v>
      </c>
      <c r="F28" s="14"/>
      <c r="G28" s="15" t="s">
        <v>68</v>
      </c>
    </row>
    <row r="29" customFormat="false" ht="15" hidden="false" customHeight="true" outlineLevel="0" collapsed="false">
      <c r="A29" s="13" t="s">
        <v>69</v>
      </c>
      <c r="B29" s="14" t="n">
        <v>158225</v>
      </c>
      <c r="C29" s="14" t="n">
        <v>159196</v>
      </c>
      <c r="D29" s="14" t="n">
        <v>213415</v>
      </c>
      <c r="E29" s="14" t="n">
        <v>260384</v>
      </c>
      <c r="F29" s="14"/>
      <c r="G29" s="15" t="s">
        <v>70</v>
      </c>
    </row>
    <row r="30" customFormat="false" ht="15" hidden="false" customHeight="true" outlineLevel="0" collapsed="false">
      <c r="A30" s="13" t="s">
        <v>71</v>
      </c>
      <c r="B30" s="14" t="n">
        <v>199880</v>
      </c>
      <c r="C30" s="14" t="n">
        <v>5578</v>
      </c>
      <c r="D30" s="14" t="n">
        <v>18933</v>
      </c>
      <c r="E30" s="14" t="n">
        <v>4765</v>
      </c>
      <c r="F30" s="14"/>
      <c r="G30" s="15" t="s">
        <v>72</v>
      </c>
    </row>
    <row r="31" customFormat="false" ht="15" hidden="false" customHeight="true" outlineLevel="0" collapsed="false">
      <c r="A31" s="13" t="s">
        <v>73</v>
      </c>
      <c r="B31" s="16" t="n">
        <f aca="false">SUM(B28:B30)</f>
        <v>608834</v>
      </c>
      <c r="C31" s="16" t="n">
        <f aca="false">SUM(C28:C30)</f>
        <v>377144</v>
      </c>
      <c r="D31" s="16" t="n">
        <f aca="false">SUM(D28:D30)</f>
        <v>428490</v>
      </c>
      <c r="E31" s="16" t="n">
        <f aca="false">SUM(E28:E30)</f>
        <v>454900</v>
      </c>
      <c r="F31" s="16" t="n">
        <f aca="false">SUM(F28:F30)</f>
        <v>0</v>
      </c>
      <c r="G31" s="15"/>
    </row>
    <row r="32" customFormat="false" ht="15" hidden="false" customHeight="true" outlineLevel="0" collapsed="false">
      <c r="A32" s="13" t="s">
        <v>74</v>
      </c>
      <c r="B32" s="14" t="n">
        <v>289796</v>
      </c>
      <c r="C32" s="14" t="n">
        <v>323927</v>
      </c>
      <c r="D32" s="14" t="n">
        <v>276142</v>
      </c>
      <c r="E32" s="14" t="n">
        <v>188856</v>
      </c>
      <c r="F32" s="14"/>
      <c r="G32" s="15" t="s">
        <v>75</v>
      </c>
    </row>
    <row r="33" customFormat="false" ht="15" hidden="false" customHeight="true" outlineLevel="0" collapsed="false">
      <c r="A33" s="13" t="s">
        <v>76</v>
      </c>
      <c r="B33" s="14" t="n">
        <v>914</v>
      </c>
      <c r="C33" s="14" t="n">
        <v>938</v>
      </c>
      <c r="D33" s="14" t="n">
        <v>11182</v>
      </c>
      <c r="E33" s="14" t="n">
        <v>7275</v>
      </c>
      <c r="F33" s="14"/>
      <c r="G33" s="15" t="s">
        <v>77</v>
      </c>
    </row>
    <row r="34" customFormat="false" ht="15" hidden="false" customHeight="true" outlineLevel="0" collapsed="false">
      <c r="A34" s="13" t="s">
        <v>78</v>
      </c>
      <c r="B34" s="16" t="n">
        <f aca="false">B32+B33</f>
        <v>290710</v>
      </c>
      <c r="C34" s="16" t="n">
        <f aca="false">C32+C33</f>
        <v>324865</v>
      </c>
      <c r="D34" s="16" t="n">
        <f aca="false">D32+D33</f>
        <v>287324</v>
      </c>
      <c r="E34" s="16" t="n">
        <f aca="false">E32+E33</f>
        <v>196131</v>
      </c>
      <c r="F34" s="16" t="n">
        <f aca="false">F32+F33</f>
        <v>0</v>
      </c>
      <c r="G34" s="15"/>
    </row>
    <row r="35" customFormat="false" ht="15" hidden="false" customHeight="true" outlineLevel="0" collapsed="false">
      <c r="A35" s="13" t="s">
        <v>79</v>
      </c>
      <c r="B35" s="16" t="n">
        <f aca="false">B31+B34</f>
        <v>899544</v>
      </c>
      <c r="C35" s="16" t="n">
        <f aca="false">C31+C34</f>
        <v>702009</v>
      </c>
      <c r="D35" s="16" t="n">
        <f aca="false">D31+D34</f>
        <v>715814</v>
      </c>
      <c r="E35" s="16" t="n">
        <f aca="false">E31+E34</f>
        <v>651031</v>
      </c>
      <c r="F35" s="16" t="n">
        <f aca="false">F31+F34</f>
        <v>0</v>
      </c>
      <c r="G35" s="15"/>
    </row>
    <row r="36" customFormat="false" ht="15" hidden="false" customHeight="true" outlineLevel="0" collapsed="false">
      <c r="A36" s="13" t="s">
        <v>80</v>
      </c>
      <c r="B36" s="14" t="n">
        <v>465056</v>
      </c>
      <c r="C36" s="14" t="n">
        <v>615660</v>
      </c>
      <c r="D36" s="14" t="n">
        <v>842833</v>
      </c>
      <c r="E36" s="14" t="n">
        <v>879995</v>
      </c>
      <c r="F36" s="14"/>
      <c r="G36" s="15" t="s">
        <v>81</v>
      </c>
    </row>
    <row r="37" customFormat="false" ht="15" hidden="false" customHeight="true" outlineLevel="0" collapsed="false">
      <c r="A37" s="13" t="s">
        <v>82</v>
      </c>
      <c r="B37" s="16" t="n">
        <f aca="false">B36+B35</f>
        <v>1364600</v>
      </c>
      <c r="C37" s="16" t="n">
        <f aca="false">C36+C35</f>
        <v>1317669</v>
      </c>
      <c r="D37" s="16" t="n">
        <f aca="false">D36+D35</f>
        <v>1558647</v>
      </c>
      <c r="E37" s="16" t="n">
        <f aca="false">E36+E35</f>
        <v>1531026</v>
      </c>
      <c r="F37" s="16" t="n">
        <f aca="false">F36+F35</f>
        <v>0</v>
      </c>
      <c r="G37" s="15"/>
    </row>
    <row r="38" customFormat="false" ht="15" hidden="false" customHeight="true" outlineLevel="0" collapsed="false">
      <c r="A38" s="17" t="s">
        <v>83</v>
      </c>
      <c r="B38" s="16" t="n">
        <f aca="false">B25-B37</f>
        <v>0</v>
      </c>
      <c r="C38" s="16" t="n">
        <f aca="false">C25-C37</f>
        <v>0</v>
      </c>
      <c r="D38" s="16" t="n">
        <f aca="false">D25-D37</f>
        <v>2</v>
      </c>
      <c r="E38" s="16" t="n">
        <f aca="false">E25-E37</f>
        <v>0</v>
      </c>
      <c r="F38" s="16" t="n">
        <f aca="false">F25-F37</f>
        <v>0</v>
      </c>
      <c r="G38" s="1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6" min="2" style="1" width="14"/>
    <col collapsed="false" customWidth="true" hidden="false" outlineLevel="0" max="7" min="7" style="1" width="10"/>
  </cols>
  <sheetData>
    <row r="1" customFormat="false" ht="17.25" hidden="false" customHeight="true" outlineLevel="0" collapsed="false">
      <c r="A1" s="6" t="s">
        <v>84</v>
      </c>
      <c r="B1" s="6"/>
      <c r="C1" s="6"/>
      <c r="D1" s="6"/>
      <c r="E1" s="6"/>
      <c r="F1" s="6"/>
      <c r="G1" s="6"/>
    </row>
    <row r="2" customFormat="false" ht="15" hidden="false" customHeight="true" outlineLevel="0" collapsed="false">
      <c r="A2" s="7" t="s">
        <v>85</v>
      </c>
    </row>
    <row r="4" customFormat="false" ht="15" hidden="false" customHeight="true" outlineLevel="0" collapsed="false">
      <c r="A4" s="11" t="s">
        <v>86</v>
      </c>
      <c r="B4" s="9" t="s">
        <v>30</v>
      </c>
      <c r="C4" s="9" t="s">
        <v>31</v>
      </c>
      <c r="D4" s="9" t="s">
        <v>32</v>
      </c>
      <c r="E4" s="9" t="s">
        <v>33</v>
      </c>
      <c r="F4" s="9"/>
      <c r="G4" s="9" t="s">
        <v>87</v>
      </c>
    </row>
    <row r="6" customFormat="false" ht="15" hidden="false" customHeight="true" outlineLevel="0" collapsed="false">
      <c r="A6" s="12" t="s">
        <v>88</v>
      </c>
      <c r="B6" s="12"/>
      <c r="C6" s="12"/>
      <c r="D6" s="12"/>
      <c r="E6" s="12"/>
      <c r="F6" s="12"/>
      <c r="G6" s="12"/>
    </row>
    <row r="7" customFormat="false" ht="15" hidden="false" customHeight="true" outlineLevel="0" collapsed="false">
      <c r="A7" s="13" t="s">
        <v>89</v>
      </c>
      <c r="B7" s="18" t="n">
        <f aca="false">IFERROR('Raw Data'!B9/'Raw Data'!B7,"")</f>
        <v>0.315783547581907</v>
      </c>
      <c r="C7" s="18" t="n">
        <f aca="false">IFERROR('Raw Data'!C9/'Raw Data'!C7,"")</f>
        <v>0.354578202566879</v>
      </c>
      <c r="D7" s="18" t="n">
        <f aca="false">IFERROR('Raw Data'!D9/'Raw Data'!D7,"")</f>
        <v>0.368319773035792</v>
      </c>
      <c r="E7" s="18" t="n">
        <f aca="false">IFERROR('Raw Data'!E9/'Raw Data'!E7,"")</f>
        <v>0.371189861029116</v>
      </c>
      <c r="F7" s="18" t="str">
        <f aca="false">IFERROR('Raw Data'!F9/'Raw Data'!F7,"")</f>
        <v/>
      </c>
      <c r="G7" s="19" t="s">
        <v>90</v>
      </c>
    </row>
    <row r="8" customFormat="false" ht="15" hidden="false" customHeight="true" outlineLevel="0" collapsed="false">
      <c r="A8" s="13" t="s">
        <v>91</v>
      </c>
      <c r="B8" s="18" t="n">
        <f aca="false">IFERROR('Raw Data'!B12/'Raw Data'!B7,"")</f>
        <v>0.212237028377973</v>
      </c>
      <c r="C8" s="18" t="n">
        <f aca="false">IFERROR('Raw Data'!C12/'Raw Data'!C7,"")</f>
        <v>0.260930746091981</v>
      </c>
      <c r="D8" s="18" t="n">
        <f aca="false">IFERROR('Raw Data'!D12/'Raw Data'!D7,"")</f>
        <v>0.255943712411233</v>
      </c>
      <c r="E8" s="18" t="n">
        <f aca="false">IFERROR('Raw Data'!E12/'Raw Data'!E7,"")</f>
        <v>0.222726038128888</v>
      </c>
      <c r="F8" s="18" t="str">
        <f aca="false">IFERROR('Raw Data'!F12/'Raw Data'!F7,"")</f>
        <v/>
      </c>
      <c r="G8" s="19" t="s">
        <v>90</v>
      </c>
    </row>
    <row r="9" customFormat="false" ht="15" hidden="false" customHeight="true" outlineLevel="0" collapsed="false">
      <c r="A9" s="13" t="s">
        <v>92</v>
      </c>
      <c r="B9" s="18" t="n">
        <f aca="false">IFERROR('Raw Data'!B16/'Raw Data'!B7,"")</f>
        <v>0.131932083138821</v>
      </c>
      <c r="C9" s="18" t="n">
        <f aca="false">IFERROR('Raw Data'!C16/'Raw Data'!C7,"")</f>
        <v>0.179116983257885</v>
      </c>
      <c r="D9" s="18" t="n">
        <f aca="false">IFERROR('Raw Data'!D16/'Raw Data'!D7,"")</f>
        <v>0.154803949781843</v>
      </c>
      <c r="E9" s="18" t="n">
        <f aca="false">IFERROR('Raw Data'!E16/'Raw Data'!E7,"")</f>
        <v>0.125899853868446</v>
      </c>
      <c r="F9" s="18" t="str">
        <f aca="false">IFERROR('Raw Data'!F16/'Raw Data'!F7,"")</f>
        <v/>
      </c>
      <c r="G9" s="19" t="s">
        <v>90</v>
      </c>
    </row>
    <row r="10" customFormat="false" ht="15" hidden="false" customHeight="true" outlineLevel="0" collapsed="false">
      <c r="A10" s="13" t="s">
        <v>93</v>
      </c>
      <c r="B10" s="20"/>
      <c r="C10" s="18" t="n">
        <f aca="false">IFERROR('Raw Data'!C16/AVERAGE('Raw Data'!C36,'Raw Data'!B36),"")</f>
        <v>0.278909537750899</v>
      </c>
      <c r="D10" s="18" t="n">
        <f aca="false">IFERROR('Raw Data'!D16/AVERAGE('Raw Data'!D36,'Raw Data'!C36),"")</f>
        <v>0.14605623749994</v>
      </c>
      <c r="E10" s="18" t="n">
        <f aca="false">IFERROR('Raw Data'!E16/AVERAGE('Raw Data'!E36,'Raw Data'!D36),"")</f>
        <v>0.065110388268591</v>
      </c>
      <c r="F10" s="18" t="n">
        <f aca="false">IFERROR('Raw Data'!F16/AVERAGE('Raw Data'!F36,'Raw Data'!E36),"")</f>
        <v>0</v>
      </c>
      <c r="G10" s="19" t="s">
        <v>90</v>
      </c>
    </row>
    <row r="11" customFormat="false" ht="15" hidden="false" customHeight="true" outlineLevel="0" collapsed="false">
      <c r="A11" s="13" t="s">
        <v>94</v>
      </c>
      <c r="B11" s="20"/>
      <c r="C11" s="18" t="n">
        <f aca="false">IFERROR('Raw Data'!C16/AVERAGE('Raw Data'!C25,'Raw Data'!B25),"")</f>
        <v>0.112375753513164</v>
      </c>
      <c r="D11" s="18" t="n">
        <f aca="false">IFERROR('Raw Data'!D16/AVERAGE('Raw Data'!D25,'Raw Data'!C25),"")</f>
        <v>0.0740606567145914</v>
      </c>
      <c r="E11" s="18" t="n">
        <f aca="false">IFERROR('Raw Data'!E16/AVERAGE('Raw Data'!E25,'Raw Data'!D25),"")</f>
        <v>0.0363060839732334</v>
      </c>
      <c r="F11" s="18" t="n">
        <f aca="false">IFERROR('Raw Data'!F16/AVERAGE('Raw Data'!F25,'Raw Data'!E25),"")</f>
        <v>0</v>
      </c>
      <c r="G11" s="19" t="s">
        <v>90</v>
      </c>
    </row>
    <row r="13" customFormat="false" ht="15" hidden="false" customHeight="true" outlineLevel="0" collapsed="false">
      <c r="A13" s="12" t="s">
        <v>95</v>
      </c>
      <c r="B13" s="12"/>
      <c r="C13" s="12"/>
      <c r="D13" s="12"/>
      <c r="E13" s="12"/>
      <c r="F13" s="12"/>
      <c r="G13" s="12"/>
    </row>
    <row r="14" customFormat="false" ht="15" hidden="false" customHeight="true" outlineLevel="0" collapsed="false">
      <c r="A14" s="13" t="s">
        <v>96</v>
      </c>
      <c r="B14" s="21" t="n">
        <f aca="false">IFERROR('Raw Data'!B23/'Raw Data'!B31,"")</f>
        <v>1.32770837371106</v>
      </c>
      <c r="C14" s="21" t="n">
        <f aca="false">IFERROR('Raw Data'!C23/'Raw Data'!C31,"")</f>
        <v>1.76923403262414</v>
      </c>
      <c r="D14" s="21" t="n">
        <f aca="false">IFERROR('Raw Data'!D23/'Raw Data'!D31,"")</f>
        <v>2.14106280193237</v>
      </c>
      <c r="E14" s="21" t="n">
        <f aca="false">IFERROR('Raw Data'!E23/'Raw Data'!E31,"")</f>
        <v>2.0070520993625</v>
      </c>
      <c r="F14" s="21" t="str">
        <f aca="false">IFERROR('Raw Data'!F23/'Raw Data'!F31,"")</f>
        <v/>
      </c>
      <c r="G14" s="19" t="s">
        <v>97</v>
      </c>
    </row>
    <row r="15" customFormat="false" ht="15" hidden="false" customHeight="true" outlineLevel="0" collapsed="false">
      <c r="A15" s="13" t="s">
        <v>98</v>
      </c>
      <c r="B15" s="21" t="n">
        <f aca="false">IFERROR(('Raw Data'!B23-'Raw Data'!B21)/'Raw Data'!B31,"")</f>
        <v>0.873341501952913</v>
      </c>
      <c r="C15" s="21" t="n">
        <f aca="false">IFERROR(('Raw Data'!C23-'Raw Data'!C21)/'Raw Data'!C31,"")</f>
        <v>1.280187408523</v>
      </c>
      <c r="D15" s="21" t="n">
        <f aca="false">IFERROR(('Raw Data'!D23-'Raw Data'!D21)/'Raw Data'!D31,"")</f>
        <v>1.69615393591449</v>
      </c>
      <c r="E15" s="21" t="n">
        <f aca="false">IFERROR(('Raw Data'!E23-'Raw Data'!E21)/'Raw Data'!E31,"")</f>
        <v>1.42245108815124</v>
      </c>
      <c r="F15" s="21" t="str">
        <f aca="false">IFERROR(('Raw Data'!F23-'Raw Data'!F21)/'Raw Data'!F31,"")</f>
        <v/>
      </c>
      <c r="G15" s="19" t="s">
        <v>97</v>
      </c>
    </row>
    <row r="16" customFormat="false" ht="15" hidden="false" customHeight="true" outlineLevel="0" collapsed="false">
      <c r="A16" s="13" t="s">
        <v>99</v>
      </c>
      <c r="B16" s="21" t="n">
        <f aca="false">IFERROR('Raw Data'!B19/'Raw Data'!B31,"")</f>
        <v>0.460670724696715</v>
      </c>
      <c r="C16" s="21" t="n">
        <f aca="false">IFERROR('Raw Data'!C19/'Raw Data'!C31,"")</f>
        <v>0.63033483231869</v>
      </c>
      <c r="D16" s="21" t="n">
        <f aca="false">IFERROR('Raw Data'!D19/'Raw Data'!D31,"")</f>
        <v>1.16670634087143</v>
      </c>
      <c r="E16" s="21" t="n">
        <f aca="false">IFERROR('Raw Data'!E19/'Raw Data'!E31,"")</f>
        <v>0.768566717959991</v>
      </c>
      <c r="F16" s="21" t="str">
        <f aca="false">IFERROR('Raw Data'!F19/'Raw Data'!F31,"")</f>
        <v/>
      </c>
      <c r="G16" s="19" t="s">
        <v>97</v>
      </c>
    </row>
    <row r="17" customFormat="false" ht="15" hidden="false" customHeight="true" outlineLevel="0" collapsed="false">
      <c r="A17" s="13" t="s">
        <v>100</v>
      </c>
      <c r="B17" s="22" t="n">
        <f aca="false">'Raw Data'!B23-'Raw Data'!B31</f>
        <v>199520</v>
      </c>
      <c r="C17" s="22" t="n">
        <f aca="false">'Raw Data'!C23-'Raw Data'!C31</f>
        <v>290112</v>
      </c>
      <c r="D17" s="22" t="n">
        <f aca="false">'Raw Data'!D23-'Raw Data'!D31</f>
        <v>488934</v>
      </c>
      <c r="E17" s="22" t="n">
        <f aca="false">'Raw Data'!E23-'Raw Data'!E31</f>
        <v>458108</v>
      </c>
      <c r="F17" s="22" t="n">
        <f aca="false">'Raw Data'!F23-'Raw Data'!F31</f>
        <v>0</v>
      </c>
      <c r="G17" s="19" t="s">
        <v>101</v>
      </c>
    </row>
    <row r="19" customFormat="false" ht="15" hidden="false" customHeight="true" outlineLevel="0" collapsed="false">
      <c r="A19" s="12" t="s">
        <v>102</v>
      </c>
      <c r="B19" s="12"/>
      <c r="C19" s="12"/>
      <c r="D19" s="12"/>
      <c r="E19" s="12"/>
      <c r="F19" s="12"/>
      <c r="G19" s="12"/>
    </row>
    <row r="20" customFormat="false" ht="15" hidden="false" customHeight="true" outlineLevel="0" collapsed="false">
      <c r="A20" s="13" t="s">
        <v>103</v>
      </c>
      <c r="B20" s="21" t="n">
        <f aca="false">IFERROR(('Raw Data'!B29+'Raw Data'!B32)/'Raw Data'!B36,"")</f>
        <v>0.963370002752357</v>
      </c>
      <c r="C20" s="21" t="n">
        <f aca="false">IFERROR(('Raw Data'!C29+'Raw Data'!C32)/'Raw Data'!C36,"")</f>
        <v>0.784723711139265</v>
      </c>
      <c r="D20" s="21" t="n">
        <f aca="false">IFERROR(('Raw Data'!D29+'Raw Data'!D32)/'Raw Data'!D36,"")</f>
        <v>0.580846976803234</v>
      </c>
      <c r="E20" s="21" t="n">
        <f aca="false">IFERROR(('Raw Data'!E29+'Raw Data'!E32)/'Raw Data'!E36,"")</f>
        <v>0.510502900584662</v>
      </c>
      <c r="F20" s="21" t="str">
        <f aca="false">IFERROR(('Raw Data'!F29+'Raw Data'!F32)/'Raw Data'!F36,"")</f>
        <v/>
      </c>
      <c r="G20" s="19" t="s">
        <v>97</v>
      </c>
    </row>
    <row r="21" customFormat="false" ht="15" hidden="false" customHeight="true" outlineLevel="0" collapsed="false">
      <c r="A21" s="13" t="s">
        <v>104</v>
      </c>
      <c r="B21" s="21" t="n">
        <f aca="false">IFERROR('Raw Data'!B35/'Raw Data'!B36,"")</f>
        <v>1.93427028142847</v>
      </c>
      <c r="C21" s="21" t="n">
        <f aca="false">IFERROR('Raw Data'!C35/'Raw Data'!C36,"")</f>
        <v>1.14025436117337</v>
      </c>
      <c r="D21" s="21" t="n">
        <f aca="false">IFERROR('Raw Data'!D35/'Raw Data'!D36,"")</f>
        <v>0.849295174726191</v>
      </c>
      <c r="E21" s="21" t="n">
        <f aca="false">IFERROR('Raw Data'!E35/'Raw Data'!E36,"")</f>
        <v>0.739812158023625</v>
      </c>
      <c r="F21" s="21" t="str">
        <f aca="false">IFERROR('Raw Data'!F35/'Raw Data'!F36,"")</f>
        <v/>
      </c>
      <c r="G21" s="19" t="s">
        <v>97</v>
      </c>
    </row>
    <row r="22" customFormat="false" ht="15" hidden="false" customHeight="true" outlineLevel="0" collapsed="false">
      <c r="A22" s="13" t="s">
        <v>105</v>
      </c>
      <c r="B22" s="21" t="n">
        <f aca="false">IFERROR(('Raw Data'!B29+'Raw Data'!B32-'Raw Data'!B19)/'Raw Data'!B36,"")</f>
        <v>0.360277041904631</v>
      </c>
      <c r="C22" s="21" t="n">
        <f aca="false">IFERROR(('Raw Data'!C29+'Raw Data'!C32-'Raw Data'!C19)/'Raw Data'!C36,"")</f>
        <v>0.398590130916415</v>
      </c>
      <c r="D22" s="21" t="n">
        <f aca="false">IFERROR(('Raw Data'!D29+'Raw Data'!D32-'Raw Data'!D19)/'Raw Data'!D36,"")</f>
        <v>-0.0122978098864188</v>
      </c>
      <c r="E22" s="21" t="n">
        <f aca="false">IFERROR(('Raw Data'!E29+'Raw Data'!E32-'Raw Data'!E19)/'Raw Data'!E36,"")</f>
        <v>0.113204052295752</v>
      </c>
      <c r="F22" s="21" t="str">
        <f aca="false">IFERROR(('Raw Data'!F29+'Raw Data'!F32-'Raw Data'!F19)/'Raw Data'!F36,"")</f>
        <v/>
      </c>
      <c r="G22" s="19" t="s">
        <v>97</v>
      </c>
    </row>
    <row r="23" customFormat="false" ht="15" hidden="false" customHeight="true" outlineLevel="0" collapsed="false">
      <c r="A23" s="13" t="s">
        <v>106</v>
      </c>
      <c r="B23" s="21" t="n">
        <f aca="false">IFERROR('Raw Data'!B12/'Raw Data'!B13,"")</f>
        <v>9.45499633658344</v>
      </c>
      <c r="C23" s="21" t="n">
        <f aca="false">IFERROR('Raw Data'!C12/'Raw Data'!C13,"")</f>
        <v>14.8686170933225</v>
      </c>
      <c r="D23" s="21" t="n">
        <f aca="false">IFERROR('Raw Data'!D12/'Raw Data'!D13,"")</f>
        <v>10.8945186834942</v>
      </c>
      <c r="E23" s="21" t="n">
        <f aca="false">IFERROR('Raw Data'!E12/'Raw Data'!E13,"")</f>
        <v>6.76359918200409</v>
      </c>
      <c r="F23" s="21" t="str">
        <f aca="false">IFERROR('Raw Data'!F12/'Raw Data'!F13,"")</f>
        <v/>
      </c>
      <c r="G23" s="19" t="s">
        <v>97</v>
      </c>
    </row>
    <row r="25" customFormat="false" ht="15" hidden="false" customHeight="true" outlineLevel="0" collapsed="false">
      <c r="A25" s="12" t="s">
        <v>107</v>
      </c>
      <c r="B25" s="12"/>
      <c r="C25" s="12"/>
      <c r="D25" s="12"/>
      <c r="E25" s="12"/>
      <c r="F25" s="12"/>
      <c r="G25" s="12"/>
    </row>
    <row r="26" customFormat="false" ht="15" hidden="false" customHeight="true" outlineLevel="0" collapsed="false">
      <c r="A26" s="13" t="s">
        <v>108</v>
      </c>
      <c r="B26" s="23"/>
      <c r="C26" s="24" t="n">
        <f aca="false">IFERROR(AVERAGE('Raw Data'!C20,'Raw Data'!B20)/'Raw Data'!C7*365,"")</f>
        <v>104.029713184163</v>
      </c>
      <c r="D26" s="24" t="n">
        <f aca="false">IFERROR(AVERAGE('Raw Data'!D20,'Raw Data'!C20)/'Raw Data'!D7*365,"")</f>
        <v>117.782655173115</v>
      </c>
      <c r="E26" s="24" t="n">
        <f aca="false">IFERROR(AVERAGE('Raw Data'!E20,'Raw Data'!D20)/'Raw Data'!E7*365,"")</f>
        <v>201.829091178458</v>
      </c>
      <c r="F26" s="24" t="str">
        <f aca="false">IFERROR(AVERAGE('Raw Data'!F20,'Raw Data'!E20)/'Raw Data'!F7*365,"")</f>
        <v/>
      </c>
      <c r="G26" s="19" t="s">
        <v>109</v>
      </c>
    </row>
    <row r="27" customFormat="false" ht="15" hidden="false" customHeight="true" outlineLevel="0" collapsed="false">
      <c r="A27" s="13" t="s">
        <v>110</v>
      </c>
      <c r="B27" s="23"/>
      <c r="C27" s="24" t="n">
        <f aca="false">IFERROR(AVERAGE('Raw Data'!C21,'Raw Data'!B21)/'Raw Data'!C8*365,"")</f>
        <v>154.946806551702</v>
      </c>
      <c r="D27" s="24" t="n">
        <f aca="false">IFERROR(AVERAGE('Raw Data'!D21,'Raw Data'!C21)/'Raw Data'!D8*365,"")</f>
        <v>157.498734526713</v>
      </c>
      <c r="E27" s="24" t="n">
        <f aca="false">IFERROR(AVERAGE('Raw Data'!E21,'Raw Data'!D21)/'Raw Data'!E8*365,"")</f>
        <v>297.452432459447</v>
      </c>
      <c r="F27" s="24" t="str">
        <f aca="false">IFERROR(AVERAGE('Raw Data'!F21,'Raw Data'!E21)/'Raw Data'!F8*365,"")</f>
        <v/>
      </c>
      <c r="G27" s="19" t="s">
        <v>109</v>
      </c>
    </row>
    <row r="28" customFormat="false" ht="15" hidden="false" customHeight="true" outlineLevel="0" collapsed="false">
      <c r="A28" s="13" t="s">
        <v>111</v>
      </c>
      <c r="B28" s="23"/>
      <c r="C28" s="24" t="n">
        <f aca="false">IFERROR(AVERAGE('Raw Data'!C28,'Raw Data'!B28)/'Raw Data'!C8*365,"")</f>
        <v>155.626982957841</v>
      </c>
      <c r="D28" s="24" t="n">
        <f aca="false">IFERROR(AVERAGE('Raw Data'!D28,'Raw Data'!C28)/'Raw Data'!D8*365,"")</f>
        <v>171.537066863007</v>
      </c>
      <c r="E28" s="24" t="n">
        <f aca="false">IFERROR(AVERAGE('Raw Data'!E28,'Raw Data'!D28)/'Raw Data'!E8*365,"")</f>
        <v>251.404616818026</v>
      </c>
      <c r="F28" s="24" t="str">
        <f aca="false">IFERROR(AVERAGE('Raw Data'!F28,'Raw Data'!E28)/'Raw Data'!F8*365,"")</f>
        <v/>
      </c>
      <c r="G28" s="19" t="s">
        <v>109</v>
      </c>
    </row>
    <row r="29" customFormat="false" ht="15" hidden="false" customHeight="true" outlineLevel="0" collapsed="false">
      <c r="A29" s="13" t="s">
        <v>112</v>
      </c>
      <c r="B29" s="25"/>
      <c r="C29" s="26" t="n">
        <f aca="false">IFERROR(C26+C27-C28,"")</f>
        <v>103.349536778024</v>
      </c>
      <c r="D29" s="26" t="n">
        <f aca="false">IFERROR(D26+D27-D28,"")</f>
        <v>103.744322836822</v>
      </c>
      <c r="E29" s="26" t="n">
        <f aca="false">IFERROR(E26+E27-E28,"")</f>
        <v>247.876906819879</v>
      </c>
      <c r="F29" s="26" t="str">
        <f aca="false">IFERROR(F26+F27-F28,"")</f>
        <v/>
      </c>
      <c r="G29" s="19" t="s">
        <v>109</v>
      </c>
    </row>
    <row r="31" customFormat="false" ht="15" hidden="false" customHeight="true" outlineLevel="0" collapsed="false">
      <c r="A31" s="12" t="s">
        <v>113</v>
      </c>
      <c r="B31" s="12"/>
      <c r="C31" s="12"/>
      <c r="D31" s="12"/>
      <c r="E31" s="12"/>
      <c r="F31" s="12"/>
      <c r="G31" s="12"/>
    </row>
    <row r="32" customFormat="false" ht="15" hidden="false" customHeight="true" outlineLevel="0" collapsed="false">
      <c r="A32" s="13" t="s">
        <v>114</v>
      </c>
      <c r="B32" s="20"/>
      <c r="C32" s="18" t="n">
        <f aca="false">IFERROR('Raw Data'!C7/'Raw Data'!B7-1,"")</f>
        <v>0.0644883779478946</v>
      </c>
      <c r="D32" s="18" t="n">
        <f aca="false">IFERROR('Raw Data'!D7/'Raw Data'!C7-1,"")</f>
        <v>-0.182280716558258</v>
      </c>
      <c r="E32" s="18" t="n">
        <f aca="false">IFERROR('Raw Data'!E7/'Raw Data'!D7-1,"")</f>
        <v>-0.352522680433348</v>
      </c>
      <c r="F32" s="18" t="n">
        <f aca="false">IFERROR('Raw Data'!F7/'Raw Data'!E7-1,"")</f>
        <v>-1</v>
      </c>
      <c r="G32" s="19" t="s">
        <v>90</v>
      </c>
    </row>
    <row r="33" customFormat="false" ht="15" hidden="false" customHeight="true" outlineLevel="0" collapsed="false">
      <c r="A33" s="13" t="s">
        <v>115</v>
      </c>
      <c r="B33" s="20"/>
      <c r="C33" s="18" t="n">
        <f aca="false">IFERROR('Raw Data'!C12/'Raw Data'!B12-1,"")</f>
        <v>0.308714830710539</v>
      </c>
      <c r="D33" s="18" t="n">
        <f aca="false">IFERROR('Raw Data'!D12/'Raw Data'!C12-1,"")</f>
        <v>-0.197909360054657</v>
      </c>
      <c r="E33" s="18" t="n">
        <f aca="false">IFERROR('Raw Data'!E12/'Raw Data'!D12-1,"")</f>
        <v>-0.436555573853344</v>
      </c>
      <c r="F33" s="18" t="n">
        <f aca="false">IFERROR('Raw Data'!F12/'Raw Data'!E12-1,"")</f>
        <v>-1</v>
      </c>
      <c r="G33" s="19" t="s">
        <v>90</v>
      </c>
    </row>
    <row r="34" customFormat="false" ht="15" hidden="false" customHeight="true" outlineLevel="0" collapsed="false">
      <c r="A34" s="13" t="s">
        <v>116</v>
      </c>
      <c r="B34" s="20"/>
      <c r="C34" s="18" t="n">
        <f aca="false">IFERROR('Raw Data'!C16/'Raw Data'!B16-1,"")</f>
        <v>0.445197729277742</v>
      </c>
      <c r="D34" s="18" t="n">
        <f aca="false">IFERROR('Raw Data'!D16/'Raw Data'!C16-1,"")</f>
        <v>-0.293276535886564</v>
      </c>
      <c r="E34" s="18" t="n">
        <f aca="false">IFERROR('Raw Data'!E16/'Raw Data'!D16-1,"")</f>
        <v>-0.47341589131639</v>
      </c>
      <c r="F34" s="18" t="n">
        <f aca="false">IFERROR('Raw Data'!F16/'Raw Data'!E16-1,"")</f>
        <v>-1</v>
      </c>
      <c r="G34" s="19" t="s">
        <v>90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6" t="s">
        <v>117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118</v>
      </c>
    </row>
    <row r="4" customFormat="false" ht="15" hidden="false" customHeight="true" outlineLevel="0" collapsed="false">
      <c r="A4" s="27" t="s">
        <v>86</v>
      </c>
      <c r="B4" s="9" t="s">
        <v>119</v>
      </c>
      <c r="C4" s="9" t="s">
        <v>120</v>
      </c>
      <c r="D4" s="9" t="s">
        <v>121</v>
      </c>
      <c r="E4" s="9"/>
    </row>
    <row r="6" customFormat="false" ht="15" hidden="false" customHeight="true" outlineLevel="0" collapsed="false">
      <c r="A6" s="13" t="s">
        <v>89</v>
      </c>
      <c r="B6" s="28" t="n">
        <f aca="false">IFERROR((Ratios!C7-Ratios!B7)/ABS(Ratios!B7),"")</f>
        <v>0.122852046226091</v>
      </c>
      <c r="C6" s="28" t="n">
        <f aca="false">IFERROR((Ratios!D7-Ratios!C7)/ABS(Ratios!C7),"")</f>
        <v>0.0387546960569891</v>
      </c>
      <c r="D6" s="28" t="n">
        <f aca="false">IFERROR((Ratios!E7-Ratios!D7)/ABS(Ratios!D7),"")</f>
        <v>0.00779238097826972</v>
      </c>
      <c r="E6" s="28" t="str">
        <f aca="false">IFERROR((Ratios!F7-Ratios!E7)/ABS(Ratios!E7),"")</f>
        <v/>
      </c>
    </row>
    <row r="7" customFormat="false" ht="15" hidden="false" customHeight="true" outlineLevel="0" collapsed="false">
      <c r="A7" s="13" t="s">
        <v>91</v>
      </c>
      <c r="B7" s="28" t="n">
        <f aca="false">IFERROR((Ratios!C8-Ratios!B8)/ABS(Ratios!B8),"")</f>
        <v>0.229430830643224</v>
      </c>
      <c r="C7" s="28" t="n">
        <f aca="false">IFERROR((Ratios!D8-Ratios!C8)/ABS(Ratios!C8),"")</f>
        <v>-0.0191124800562603</v>
      </c>
      <c r="D7" s="28" t="n">
        <f aca="false">IFERROR((Ratios!E8-Ratios!D8)/ABS(Ratios!D8),"")</f>
        <v>-0.129785076450613</v>
      </c>
      <c r="E7" s="28" t="str">
        <f aca="false">IFERROR((Ratios!F8-Ratios!E8)/ABS(Ratios!E8),"")</f>
        <v/>
      </c>
    </row>
    <row r="8" customFormat="false" ht="15" hidden="false" customHeight="true" outlineLevel="0" collapsed="false">
      <c r="A8" s="13" t="s">
        <v>92</v>
      </c>
      <c r="B8" s="28" t="n">
        <f aca="false">IFERROR((Ratios!C9-Ratios!B9)/ABS(Ratios!B9),"")</f>
        <v>0.357645380838984</v>
      </c>
      <c r="C8" s="28" t="n">
        <f aca="false">IFERROR((Ratios!D9-Ratios!C9)/ABS(Ratios!C9),"")</f>
        <v>-0.135738292560658</v>
      </c>
      <c r="D8" s="28" t="n">
        <f aca="false">IFERROR((Ratios!E9-Ratios!D9)/ABS(Ratios!D9),"")</f>
        <v>-0.186714201763784</v>
      </c>
      <c r="E8" s="28" t="str">
        <f aca="false">IFERROR((Ratios!F9-Ratios!E9)/ABS(Ratios!E9),"")</f>
        <v/>
      </c>
    </row>
    <row r="9" customFormat="false" ht="15" hidden="false" customHeight="true" outlineLevel="0" collapsed="false">
      <c r="A9" s="13" t="s">
        <v>93</v>
      </c>
      <c r="B9" s="28" t="str">
        <f aca="false">IFERROR((Ratios!C10-Ratios!B10)/ABS(Ratios!B10),"")</f>
        <v/>
      </c>
      <c r="C9" s="28" t="n">
        <f aca="false">IFERROR((Ratios!D10-Ratios!C10)/ABS(Ratios!C10),"")</f>
        <v>-0.476331147806115</v>
      </c>
      <c r="D9" s="28" t="n">
        <f aca="false">IFERROR((Ratios!E10-Ratios!D10)/ABS(Ratios!D10),"")</f>
        <v>-0.554210149575997</v>
      </c>
      <c r="E9" s="28" t="n">
        <f aca="false">IFERROR((Ratios!F10-Ratios!E10)/ABS(Ratios!E10),"")</f>
        <v>-1</v>
      </c>
    </row>
    <row r="10" customFormat="false" ht="15" hidden="false" customHeight="true" outlineLevel="0" collapsed="false">
      <c r="A10" s="13" t="s">
        <v>94</v>
      </c>
      <c r="B10" s="28" t="str">
        <f aca="false">IFERROR((Ratios!C11-Ratios!B11)/ABS(Ratios!B11),"")</f>
        <v/>
      </c>
      <c r="C10" s="28" t="n">
        <f aca="false">IFERROR((Ratios!D11-Ratios!C11)/ABS(Ratios!C11),"")</f>
        <v>-0.340955193631552</v>
      </c>
      <c r="D10" s="28" t="n">
        <f aca="false">IFERROR((Ratios!E11-Ratios!D11)/ABS(Ratios!D11),"")</f>
        <v>-0.509779070510451</v>
      </c>
      <c r="E10" s="28" t="n">
        <f aca="false">IFERROR((Ratios!F11-Ratios!E11)/ABS(Ratios!E11),"")</f>
        <v>-1</v>
      </c>
    </row>
    <row r="11" customFormat="false" ht="15" hidden="false" customHeight="true" outlineLevel="0" collapsed="false">
      <c r="A11" s="13" t="s">
        <v>96</v>
      </c>
      <c r="B11" s="28" t="n">
        <f aca="false">IFERROR((Ratios!C14-Ratios!B14)/ABS(Ratios!B14),"")</f>
        <v>0.332547167476981</v>
      </c>
      <c r="C11" s="28" t="n">
        <f aca="false">IFERROR((Ratios!D14-Ratios!C14)/ABS(Ratios!C14),"")</f>
        <v>0.210163699347748</v>
      </c>
      <c r="D11" s="28" t="n">
        <f aca="false">IFERROR((Ratios!E14-Ratios!D14)/ABS(Ratios!D14),"")</f>
        <v>-0.0625907387905303</v>
      </c>
      <c r="E11" s="28" t="str">
        <f aca="false">IFERROR((Ratios!F14-Ratios!E14)/ABS(Ratios!E14),"")</f>
        <v/>
      </c>
    </row>
    <row r="12" customFormat="false" ht="15" hidden="false" customHeight="true" outlineLevel="0" collapsed="false">
      <c r="A12" s="13" t="s">
        <v>98</v>
      </c>
      <c r="B12" s="28" t="n">
        <f aca="false">IFERROR((Ratios!C15-Ratios!B15)/ABS(Ratios!B15),"")</f>
        <v>0.465849734222326</v>
      </c>
      <c r="C12" s="28" t="n">
        <f aca="false">IFERROR((Ratios!D15-Ratios!C15)/ABS(Ratios!C15),"")</f>
        <v>0.324926276123431</v>
      </c>
      <c r="D12" s="28" t="n">
        <f aca="false">IFERROR((Ratios!E15-Ratios!D15)/ABS(Ratios!D15),"")</f>
        <v>-0.161366749778923</v>
      </c>
      <c r="E12" s="28" t="str">
        <f aca="false">IFERROR((Ratios!F15-Ratios!E15)/ABS(Ratios!E15),"")</f>
        <v/>
      </c>
    </row>
    <row r="13" customFormat="false" ht="15" hidden="false" customHeight="true" outlineLevel="0" collapsed="false">
      <c r="A13" s="13" t="s">
        <v>99</v>
      </c>
      <c r="B13" s="28" t="n">
        <f aca="false">IFERROR((Ratios!C16-Ratios!B16)/ABS(Ratios!B16),"")</f>
        <v>0.368298002295834</v>
      </c>
      <c r="C13" s="28" t="n">
        <f aca="false">IFERROR((Ratios!D16-Ratios!C16)/ABS(Ratios!C16),"")</f>
        <v>0.850931094161014</v>
      </c>
      <c r="D13" s="28" t="n">
        <f aca="false">IFERROR((Ratios!E16-Ratios!D16)/ABS(Ratios!D16),"")</f>
        <v>-0.3412509291876</v>
      </c>
      <c r="E13" s="28" t="str">
        <f aca="false">IFERROR((Ratios!F16-Ratios!E16)/ABS(Ratios!E16),"")</f>
        <v/>
      </c>
    </row>
    <row r="14" customFormat="false" ht="15" hidden="false" customHeight="true" outlineLevel="0" collapsed="false">
      <c r="A14" s="13" t="s">
        <v>103</v>
      </c>
      <c r="B14" s="28" t="n">
        <f aca="false">IFERROR((Ratios!C20-Ratios!B20)/ABS(Ratios!B20),"")</f>
        <v>-0.185438918694476</v>
      </c>
      <c r="C14" s="28" t="n">
        <f aca="false">IFERROR((Ratios!D20-Ratios!C20)/ABS(Ratios!C20),"")</f>
        <v>-0.259807026908926</v>
      </c>
      <c r="D14" s="28" t="n">
        <f aca="false">IFERROR((Ratios!E20-Ratios!D20)/ABS(Ratios!D20),"")</f>
        <v>-0.121106038298967</v>
      </c>
      <c r="E14" s="28" t="str">
        <f aca="false">IFERROR((Ratios!F20-Ratios!E20)/ABS(Ratios!E20),"")</f>
        <v/>
      </c>
    </row>
    <row r="15" customFormat="false" ht="15" hidden="false" customHeight="true" outlineLevel="0" collapsed="false">
      <c r="A15" s="13" t="s">
        <v>105</v>
      </c>
      <c r="B15" s="28" t="n">
        <f aca="false">IFERROR((Ratios!C22-Ratios!B22)/ABS(Ratios!B22),"")</f>
        <v>0.10634340953073</v>
      </c>
      <c r="C15" s="28" t="n">
        <f aca="false">IFERROR((Ratios!D22-Ratios!C22)/ABS(Ratios!C22),"")</f>
        <v>-1.03085327240327</v>
      </c>
      <c r="D15" s="28" t="n">
        <f aca="false">IFERROR((Ratios!E22-Ratios!D22)/ABS(Ratios!D22),"")</f>
        <v>10.2052205507559</v>
      </c>
      <c r="E15" s="28" t="str">
        <f aca="false">IFERROR((Ratios!F22-Ratios!E22)/ABS(Ratios!E22),"")</f>
        <v/>
      </c>
    </row>
    <row r="16" customFormat="false" ht="15" hidden="false" customHeight="true" outlineLevel="0" collapsed="false">
      <c r="A16" s="13" t="s">
        <v>106</v>
      </c>
      <c r="B16" s="28" t="n">
        <f aca="false">IFERROR((Ratios!C23-Ratios!B23)/ABS(Ratios!B23),"")</f>
        <v>0.572567197703988</v>
      </c>
      <c r="C16" s="28" t="n">
        <f aca="false">IFERROR((Ratios!D23-Ratios!C23)/ABS(Ratios!C23),"")</f>
        <v>-0.267280970710658</v>
      </c>
      <c r="D16" s="28" t="n">
        <f aca="false">IFERROR((Ratios!E23-Ratios!D23)/ABS(Ratios!D23),"")</f>
        <v>-0.379174116957427</v>
      </c>
      <c r="E16" s="28" t="str">
        <f aca="false">IFERROR((Ratios!F23-Ratios!E23)/ABS(Ratios!E23),"")</f>
        <v/>
      </c>
    </row>
    <row r="17" customFormat="false" ht="15" hidden="false" customHeight="true" outlineLevel="0" collapsed="false">
      <c r="A17" s="13" t="s">
        <v>108</v>
      </c>
      <c r="B17" s="28" t="str">
        <f aca="false">IFERROR((Ratios!C26-Ratios!B26)/ABS(Ratios!B26),"")</f>
        <v/>
      </c>
      <c r="C17" s="28" t="n">
        <f aca="false">IFERROR((Ratios!D26-Ratios!C26)/ABS(Ratios!C26),"")</f>
        <v>0.132202056201053</v>
      </c>
      <c r="D17" s="28" t="n">
        <f aca="false">IFERROR((Ratios!E26-Ratios!D26)/ABS(Ratios!D26),"")</f>
        <v>0.713572264794099</v>
      </c>
      <c r="E17" s="28" t="str">
        <f aca="false">IFERROR((Ratios!F26-Ratios!E26)/ABS(Ratios!E26),"")</f>
        <v/>
      </c>
    </row>
    <row r="18" customFormat="false" ht="15" hidden="false" customHeight="true" outlineLevel="0" collapsed="false">
      <c r="A18" s="13" t="s">
        <v>110</v>
      </c>
      <c r="B18" s="28" t="str">
        <f aca="false">IFERROR((Ratios!C27-Ratios!B27)/ABS(Ratios!B27),"")</f>
        <v/>
      </c>
      <c r="C18" s="28" t="n">
        <f aca="false">IFERROR((Ratios!D27-Ratios!C27)/ABS(Ratios!C27),"")</f>
        <v>0.0164697035828199</v>
      </c>
      <c r="D18" s="28" t="n">
        <f aca="false">IFERROR((Ratios!E27-Ratios!D27)/ABS(Ratios!D27),"")</f>
        <v>0.888602047205636</v>
      </c>
      <c r="E18" s="28" t="str">
        <f aca="false">IFERROR((Ratios!F27-Ratios!E27)/ABS(Ratios!E27),"")</f>
        <v/>
      </c>
    </row>
    <row r="19" customFormat="false" ht="15" hidden="false" customHeight="true" outlineLevel="0" collapsed="false">
      <c r="A19" s="13" t="s">
        <v>111</v>
      </c>
      <c r="B19" s="28" t="str">
        <f aca="false">IFERROR((Ratios!C28-Ratios!B28)/ABS(Ratios!B28),"")</f>
        <v/>
      </c>
      <c r="C19" s="28" t="n">
        <f aca="false">IFERROR((Ratios!D28-Ratios!C28)/ABS(Ratios!C28),"")</f>
        <v>0.102232168244729</v>
      </c>
      <c r="D19" s="28" t="n">
        <f aca="false">IFERROR((Ratios!E28-Ratios!D28)/ABS(Ratios!D28),"")</f>
        <v>0.46559936820421</v>
      </c>
      <c r="E19" s="28" t="str">
        <f aca="false">IFERROR((Ratios!F28-Ratios!E28)/ABS(Ratios!E28),"")</f>
        <v/>
      </c>
    </row>
    <row r="20" customFormat="false" ht="15" hidden="false" customHeight="true" outlineLevel="0" collapsed="false">
      <c r="A20" s="13" t="s">
        <v>112</v>
      </c>
      <c r="B20" s="28" t="str">
        <f aca="false">IFERROR((Ratios!C29-Ratios!B29)/ABS(Ratios!B29),"")</f>
        <v/>
      </c>
      <c r="C20" s="28" t="n">
        <f aca="false">IFERROR((Ratios!D29-Ratios!C29)/ABS(Ratios!C29),"")</f>
        <v>0.00381991125558259</v>
      </c>
      <c r="D20" s="28" t="n">
        <f aca="false">IFERROR((Ratios!E29-Ratios!D29)/ABS(Ratios!D29),"")</f>
        <v>1.38930574745533</v>
      </c>
      <c r="E20" s="28" t="str">
        <f aca="false">IFERROR((Ratios!F29-Ratios!E29)/ABS(Ratios!E29),"")</f>
        <v/>
      </c>
    </row>
    <row r="23" customFormat="false" ht="15" hidden="false" customHeight="true" outlineLevel="0" collapsed="false">
      <c r="A23" s="29" t="s">
        <v>122</v>
      </c>
    </row>
    <row r="24" customFormat="false" ht="15" hidden="false" customHeight="true" outlineLevel="0" collapsed="false">
      <c r="A24" s="30" t="s">
        <v>123</v>
      </c>
    </row>
    <row r="25" customFormat="false" ht="15" hidden="false" customHeight="true" outlineLevel="0" collapsed="false">
      <c r="A25" s="31" t="s">
        <v>124</v>
      </c>
    </row>
    <row r="26" customFormat="false" ht="15" hidden="false" customHeight="true" outlineLevel="0" collapsed="false">
      <c r="A26" s="32" t="s">
        <v>125</v>
      </c>
    </row>
  </sheetData>
  <mergeCells count="1">
    <mergeCell ref="A1:F1"/>
  </mergeCells>
  <conditionalFormatting sqref="B6:E20">
    <cfRule type="expression" priority="2" aboveAverage="0" equalAverage="0" bottom="0" percent="0" rank="0" text="" dxfId="0">
      <formula>AND(ISNUMBER(B6),ABS(B6)&gt;0.2)</formula>
    </cfRule>
    <cfRule type="expression" priority="3" aboveAverage="0" equalAverage="0" bottom="0" percent="0" rank="0" text="" dxfId="1">
      <formula>AND(ISNUMBER(B6),ABS(B6)&gt;=0.1,ABS(B6)&lt;=0.2)</formula>
    </cfRule>
    <cfRule type="expression" priority="4" aboveAverage="0" equalAverage="0" bottom="0" percent="0" rank="0" text="" dxfId="2">
      <formula>AND(ISNUMBER(B6),ABS(B6)&lt;0.1)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8"/>
    <col collapsed="false" customWidth="true" hidden="false" outlineLevel="0" max="3" min="3" style="1" width="75"/>
  </cols>
  <sheetData>
    <row r="1" customFormat="false" ht="17.25" hidden="false" customHeight="true" outlineLevel="0" collapsed="false">
      <c r="A1" s="6" t="s">
        <v>126</v>
      </c>
      <c r="B1" s="6"/>
      <c r="C1" s="6"/>
    </row>
    <row r="3" customFormat="false" ht="15" hidden="false" customHeight="true" outlineLevel="0" collapsed="false">
      <c r="A3" s="27" t="s">
        <v>29</v>
      </c>
      <c r="B3" s="27" t="s">
        <v>127</v>
      </c>
      <c r="C3" s="27" t="s">
        <v>128</v>
      </c>
    </row>
    <row r="4" customFormat="false" ht="23.25" hidden="false" customHeight="true" outlineLevel="0" collapsed="false">
      <c r="A4" s="33" t="s">
        <v>37</v>
      </c>
      <c r="B4" s="33" t="s">
        <v>129</v>
      </c>
      <c r="C4" s="33" t="s">
        <v>130</v>
      </c>
    </row>
    <row r="5" customFormat="false" ht="15" hidden="false" customHeight="true" outlineLevel="0" collapsed="false">
      <c r="A5" s="33" t="s">
        <v>39</v>
      </c>
      <c r="B5" s="33" t="s">
        <v>129</v>
      </c>
      <c r="C5" s="33" t="s">
        <v>131</v>
      </c>
    </row>
    <row r="6" customFormat="false" ht="15" hidden="false" customHeight="true" outlineLevel="0" collapsed="false">
      <c r="A6" s="33" t="s">
        <v>42</v>
      </c>
      <c r="B6" s="33" t="s">
        <v>129</v>
      </c>
      <c r="C6" s="33" t="s">
        <v>132</v>
      </c>
    </row>
    <row r="7" customFormat="false" ht="23.25" hidden="false" customHeight="true" outlineLevel="0" collapsed="false">
      <c r="A7" s="33" t="s">
        <v>133</v>
      </c>
      <c r="B7" s="33" t="s">
        <v>129</v>
      </c>
      <c r="C7" s="33" t="s">
        <v>134</v>
      </c>
    </row>
    <row r="8" customFormat="false" ht="15" hidden="false" customHeight="true" outlineLevel="0" collapsed="false">
      <c r="A8" s="33" t="s">
        <v>47</v>
      </c>
      <c r="B8" s="33" t="s">
        <v>129</v>
      </c>
      <c r="C8" s="33" t="s">
        <v>135</v>
      </c>
    </row>
    <row r="9" customFormat="false" ht="15" hidden="false" customHeight="true" outlineLevel="0" collapsed="false">
      <c r="A9" s="33" t="s">
        <v>50</v>
      </c>
      <c r="B9" s="33" t="s">
        <v>129</v>
      </c>
      <c r="C9" s="33" t="s">
        <v>136</v>
      </c>
    </row>
    <row r="10" customFormat="false" ht="15" hidden="false" customHeight="true" outlineLevel="0" collapsed="false">
      <c r="A10" s="33" t="s">
        <v>137</v>
      </c>
      <c r="B10" s="33" t="s">
        <v>129</v>
      </c>
      <c r="C10" s="33" t="s">
        <v>138</v>
      </c>
    </row>
    <row r="11" customFormat="false" ht="15" hidden="false" customHeight="true" outlineLevel="0" collapsed="false">
      <c r="A11" s="33" t="s">
        <v>54</v>
      </c>
      <c r="B11" s="33" t="s">
        <v>139</v>
      </c>
      <c r="C11" s="33" t="s">
        <v>140</v>
      </c>
    </row>
    <row r="12" customFormat="false" ht="23.25" hidden="false" customHeight="true" outlineLevel="0" collapsed="false">
      <c r="A12" s="33" t="s">
        <v>56</v>
      </c>
      <c r="B12" s="33" t="s">
        <v>139</v>
      </c>
      <c r="C12" s="33" t="s">
        <v>141</v>
      </c>
    </row>
    <row r="13" customFormat="false" ht="23.25" hidden="false" customHeight="true" outlineLevel="0" collapsed="false">
      <c r="A13" s="33" t="s">
        <v>142</v>
      </c>
      <c r="B13" s="33" t="s">
        <v>139</v>
      </c>
      <c r="C13" s="33" t="s">
        <v>143</v>
      </c>
    </row>
    <row r="14" customFormat="false" ht="15" hidden="false" customHeight="true" outlineLevel="0" collapsed="false">
      <c r="A14" s="33" t="s">
        <v>62</v>
      </c>
      <c r="B14" s="33" t="s">
        <v>139</v>
      </c>
      <c r="C14" s="33" t="s">
        <v>144</v>
      </c>
    </row>
    <row r="15" customFormat="false" ht="15" hidden="false" customHeight="true" outlineLevel="0" collapsed="false">
      <c r="A15" s="33" t="s">
        <v>145</v>
      </c>
      <c r="B15" s="33" t="s">
        <v>139</v>
      </c>
      <c r="C15" s="33" t="s">
        <v>146</v>
      </c>
    </row>
    <row r="16" customFormat="false" ht="15" hidden="false" customHeight="true" outlineLevel="0" collapsed="false">
      <c r="A16" s="33" t="s">
        <v>67</v>
      </c>
      <c r="B16" s="33" t="s">
        <v>139</v>
      </c>
      <c r="C16" s="33" t="s">
        <v>147</v>
      </c>
    </row>
    <row r="17" customFormat="false" ht="15" hidden="false" customHeight="true" outlineLevel="0" collapsed="false">
      <c r="A17" s="33" t="s">
        <v>69</v>
      </c>
      <c r="B17" s="33" t="s">
        <v>139</v>
      </c>
      <c r="C17" s="33" t="s">
        <v>148</v>
      </c>
    </row>
    <row r="18" customFormat="false" ht="15" hidden="false" customHeight="true" outlineLevel="0" collapsed="false">
      <c r="A18" s="33" t="s">
        <v>149</v>
      </c>
      <c r="B18" s="33" t="s">
        <v>139</v>
      </c>
      <c r="C18" s="33" t="s">
        <v>150</v>
      </c>
    </row>
    <row r="19" customFormat="false" ht="15" hidden="false" customHeight="true" outlineLevel="0" collapsed="false">
      <c r="A19" s="33" t="s">
        <v>74</v>
      </c>
      <c r="B19" s="33" t="s">
        <v>139</v>
      </c>
      <c r="C19" s="33" t="s">
        <v>151</v>
      </c>
    </row>
    <row r="20" customFormat="false" ht="15" hidden="false" customHeight="true" outlineLevel="0" collapsed="false">
      <c r="A20" s="33" t="s">
        <v>152</v>
      </c>
      <c r="B20" s="33" t="s">
        <v>139</v>
      </c>
      <c r="C20" s="33" t="s">
        <v>153</v>
      </c>
    </row>
    <row r="21" customFormat="false" ht="15" hidden="false" customHeight="true" outlineLevel="0" collapsed="false">
      <c r="A21" s="33" t="s">
        <v>154</v>
      </c>
      <c r="B21" s="33" t="s">
        <v>139</v>
      </c>
      <c r="C21" s="33" t="s">
        <v>155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2026-06-22T04:51:20Z</dcterms:created>
  <dc:creator>openpyxl</dc:creator>
  <dc:description/>
  <dc:language>en-US</dc:language>
  <cp:lastModifiedBy/>
  <dcterms:modified xsi:type="dcterms:W3CDTF">2026-06-22T07:07:30Z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